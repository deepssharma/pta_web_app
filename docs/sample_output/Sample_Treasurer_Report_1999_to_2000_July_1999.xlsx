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surer Report" sheetId="1" state="visible" r:id="rId1"/>
    <sheet name="Income Budget vs Actuals" sheetId="2" state="visible" r:id="rId2"/>
    <sheet name="Expense Budget vs Actuals" sheetId="3" state="visible" r:id="rId3"/>
    <sheet name="Giveback Reconciliation" sheetId="4" state="visible" r:id="rId4"/>
    <sheet name="File Manifest" sheetId="5" state="visible" r:id="rId5"/>
    <sheet name="YTD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_);($#,##0.00)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2E75B6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FF9E6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indent="1"/>
    </xf>
    <xf numFmtId="164" fontId="6" fillId="4" borderId="2" applyAlignment="1" pivotButton="0" quotePrefix="0" xfId="0">
      <alignment horizontal="right"/>
    </xf>
    <xf numFmtId="0" fontId="0" fillId="4" borderId="2" pivotButton="0" quotePrefix="0" xfId="0"/>
    <xf numFmtId="0" fontId="7" fillId="0" borderId="1" applyAlignment="1" pivotButton="0" quotePrefix="0" xfId="0">
      <alignment indent="2"/>
    </xf>
    <xf numFmtId="164" fontId="7" fillId="0" borderId="1" applyAlignment="1" pivotButton="0" quotePrefix="0" xfId="0">
      <alignment horizontal="right"/>
    </xf>
    <xf numFmtId="0" fontId="0" fillId="0" borderId="1" pivotButton="0" quotePrefix="0" xfId="0"/>
    <xf numFmtId="0" fontId="7" fillId="5" borderId="1" applyAlignment="1" pivotButton="0" quotePrefix="0" xfId="0">
      <alignment indent="2"/>
    </xf>
    <xf numFmtId="164" fontId="7" fillId="5" borderId="1" applyAlignment="1" pivotButton="0" quotePrefix="0" xfId="0">
      <alignment horizontal="right"/>
    </xf>
    <xf numFmtId="0" fontId="0" fillId="5" borderId="1" pivotButton="0" quotePrefix="0" xfId="0"/>
    <xf numFmtId="0" fontId="4" fillId="2" borderId="0" applyAlignment="1" pivotButton="0" quotePrefix="0" xfId="0">
      <alignment horizontal="left" indent="1"/>
    </xf>
    <xf numFmtId="0" fontId="6" fillId="6" borderId="2" applyAlignment="1" pivotButton="0" quotePrefix="0" xfId="0">
      <alignment indent="1"/>
    </xf>
    <xf numFmtId="164" fontId="6" fillId="6" borderId="2" applyAlignment="1" pivotButton="0" quotePrefix="0" xfId="0">
      <alignment horizontal="right"/>
    </xf>
    <xf numFmtId="0" fontId="0" fillId="6" borderId="2" pivotButton="0" quotePrefix="0" xfId="0"/>
    <xf numFmtId="0" fontId="8" fillId="0" borderId="1" applyAlignment="1" pivotButton="0" quotePrefix="0" xfId="0">
      <alignment indent="2"/>
    </xf>
    <xf numFmtId="164" fontId="8" fillId="0" borderId="1" applyAlignment="1" pivotButton="0" quotePrefix="0" xfId="0">
      <alignment horizontal="right"/>
    </xf>
    <xf numFmtId="0" fontId="8" fillId="7" borderId="1" applyAlignment="1" pivotButton="0" quotePrefix="0" xfId="0">
      <alignment indent="2"/>
    </xf>
    <xf numFmtId="164" fontId="8" fillId="7" borderId="1" applyAlignment="1" pivotButton="0" quotePrefix="0" xfId="0">
      <alignment horizontal="right"/>
    </xf>
    <xf numFmtId="0" fontId="0" fillId="7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indent="1"/>
    </xf>
    <xf numFmtId="164" fontId="8" fillId="8" borderId="1" applyAlignment="1" pivotButton="0" quotePrefix="0" xfId="0">
      <alignment horizontal="right"/>
    </xf>
    <xf numFmtId="0" fontId="4" fillId="2" borderId="2" applyAlignment="1" pivotButton="0" quotePrefix="0" xfId="0">
      <alignment indent="1"/>
    </xf>
    <xf numFmtId="164" fontId="5" fillId="2" borderId="2" applyAlignment="1" pivotButton="0" quotePrefix="0" xfId="0">
      <alignment horizontal="right"/>
    </xf>
    <xf numFmtId="164" fontId="8" fillId="6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7" fillId="0" borderId="1" applyAlignment="1" pivotButton="0" quotePrefix="0" xfId="0">
      <alignment indent="1"/>
    </xf>
    <xf numFmtId="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indent="1"/>
    </xf>
    <xf numFmtId="0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8" fillId="9" borderId="1" applyAlignment="1" pivotButton="0" quotePrefix="0" xfId="0">
      <alignment indent="2"/>
    </xf>
    <xf numFmtId="0" fontId="0" fillId="9" borderId="1" pivotButton="0" quotePrefix="0" xfId="0"/>
    <xf numFmtId="164" fontId="8" fillId="9" borderId="1" applyAlignment="1" pivotButton="0" quotePrefix="0" xfId="0">
      <alignment horizontal="right"/>
    </xf>
    <xf numFmtId="0" fontId="7" fillId="0" borderId="1" applyAlignment="1" pivotButton="0" quotePrefix="0" xfId="0">
      <alignment horizontal="right" indent="1"/>
    </xf>
    <xf numFmtId="0" fontId="7" fillId="5" borderId="1" applyAlignment="1" pivotButton="0" quotePrefix="0" xfId="0">
      <alignment horizontal="right" indent="1"/>
    </xf>
    <xf numFmtId="0" fontId="8" fillId="0" borderId="0" applyAlignment="1" pivotButton="0" quotePrefix="0" xfId="0">
      <alignment inden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0" fontId="10" fillId="0" borderId="0" pivotButton="0" quotePrefix="0" xfId="0"/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</cols>
  <sheetData>
    <row r="1" ht="28" customHeight="1">
      <c r="A1" s="1" t="inlineStr">
        <is>
          <t>SAMPLE ELEMENTARY PTA</t>
        </is>
      </c>
    </row>
    <row r="2">
      <c r="A2" s="2" t="inlineStr">
        <is>
          <t>Monthly Treasurer Report - July 1999</t>
        </is>
      </c>
    </row>
    <row r="3">
      <c r="A3" s="3" t="inlineStr">
        <is>
          <t>Generated: August 10, 2026</t>
        </is>
      </c>
    </row>
    <row r="5" ht="20" customHeight="1">
      <c r="A5" s="4" t="inlineStr">
        <is>
          <t>INCOME</t>
        </is>
      </c>
    </row>
    <row r="6" ht="18" customHeight="1">
      <c r="A6" s="5" t="inlineStr">
        <is>
          <t>Category</t>
        </is>
      </c>
      <c r="B6" s="6" t="inlineStr">
        <is>
          <t>Amount</t>
        </is>
      </c>
      <c r="C6" s="6" t="inlineStr"/>
      <c r="D6" s="6" t="inlineStr"/>
    </row>
    <row r="7" ht="18" customHeight="1">
      <c r="A7" s="7" t="inlineStr">
        <is>
          <t>Total Income</t>
        </is>
      </c>
      <c r="B7" s="8">
        <f>SUM(B7:B6)</f>
        <v/>
      </c>
      <c r="C7" s="9" t="n"/>
      <c r="D7" s="9" t="n"/>
    </row>
    <row r="9" ht="20" customHeight="1">
      <c r="A9" s="4" t="inlineStr">
        <is>
          <t>EXPENSES</t>
        </is>
      </c>
    </row>
    <row r="10" ht="18" customHeight="1">
      <c r="A10" s="5" t="inlineStr">
        <is>
          <t>Category</t>
        </is>
      </c>
      <c r="B10" s="6" t="inlineStr">
        <is>
          <t>Amount</t>
        </is>
      </c>
      <c r="C10" s="6" t="inlineStr"/>
      <c r="D10" s="6" t="inlineStr"/>
    </row>
    <row r="11" ht="16" customHeight="1">
      <c r="A11" s="10" t="inlineStr">
        <is>
          <t>Accounting Expense (Quickbooks)</t>
        </is>
      </c>
      <c r="B11" s="11" t="n">
        <v>1257.76</v>
      </c>
      <c r="C11" s="12" t="n"/>
      <c r="D11" s="12" t="n"/>
    </row>
    <row r="12" ht="16" customHeight="1">
      <c r="A12" s="13" t="inlineStr">
        <is>
          <t>Picnic</t>
        </is>
      </c>
      <c r="B12" s="14" t="n">
        <v>181.58</v>
      </c>
      <c r="C12" s="15" t="n"/>
      <c r="D12" s="15" t="n"/>
    </row>
    <row r="13" ht="18" customHeight="1">
      <c r="A13" s="7" t="inlineStr">
        <is>
          <t>Total Expenses</t>
        </is>
      </c>
      <c r="B13" s="8">
        <f>SUM(B11:B12)</f>
        <v/>
      </c>
      <c r="C13" s="9" t="n"/>
      <c r="D13" s="9" t="n"/>
    </row>
    <row r="15">
      <c r="A15" s="16" t="inlineStr">
        <is>
          <t>NET INCOME / (LOSS)</t>
        </is>
      </c>
    </row>
    <row r="16">
      <c r="A16" s="17" t="inlineStr">
        <is>
          <t>Net Income (Loss)</t>
        </is>
      </c>
      <c r="B16" s="18">
        <f>B7-B13</f>
        <v/>
      </c>
      <c r="C16" s="19" t="n"/>
      <c r="D16" s="19" t="n"/>
    </row>
    <row r="18" ht="20" customHeight="1">
      <c r="A18" s="4" t="inlineStr">
        <is>
          <t>BANK RECONCILIATION - Chase Business Checking</t>
        </is>
      </c>
    </row>
    <row r="19" ht="18" customHeight="1">
      <c r="A19" s="5" t="inlineStr">
        <is>
          <t>Description</t>
        </is>
      </c>
      <c r="B19" s="6" t="inlineStr">
        <is>
          <t>Amount</t>
        </is>
      </c>
      <c r="C19" s="6" t="inlineStr"/>
      <c r="D19" s="6" t="inlineStr"/>
    </row>
    <row r="20" ht="16" customHeight="1">
      <c r="A20" s="10" t="inlineStr">
        <is>
          <t>Beginning Balance</t>
        </is>
      </c>
      <c r="B20" s="11" t="n">
        <v>32630.1</v>
      </c>
      <c r="C20" s="12" t="n"/>
      <c r="D20" s="12" t="n"/>
    </row>
    <row r="21" ht="16" customHeight="1">
      <c r="A21" s="13" t="inlineStr">
        <is>
          <t>(+) Deposits &amp; Additions</t>
        </is>
      </c>
      <c r="B21" s="14" t="n">
        <v>0</v>
      </c>
      <c r="C21" s="15" t="n"/>
      <c r="D21" s="15" t="n"/>
    </row>
    <row r="22" ht="16" customHeight="1">
      <c r="A22" s="10" t="inlineStr">
        <is>
          <t>(-) Checks Paid</t>
        </is>
      </c>
      <c r="B22" s="11" t="n">
        <v>-181.58</v>
      </c>
      <c r="C22" s="12" t="n"/>
      <c r="D22" s="12" t="n"/>
    </row>
    <row r="23" ht="16" customHeight="1">
      <c r="A23" s="13" t="inlineStr">
        <is>
          <t>(-) Electronic Withdrawals</t>
        </is>
      </c>
      <c r="B23" s="14" t="n">
        <v>-1257.76</v>
      </c>
      <c r="C23" s="15" t="n"/>
      <c r="D23" s="15" t="n"/>
    </row>
    <row r="24" ht="16" customHeight="1">
      <c r="A24" s="10" t="inlineStr">
        <is>
          <t>(-) Fees</t>
        </is>
      </c>
      <c r="B24" s="11" t="n">
        <v>-0</v>
      </c>
      <c r="C24" s="12" t="n"/>
      <c r="D24" s="12" t="n"/>
    </row>
    <row r="25" ht="18" customHeight="1">
      <c r="A25" s="7" t="inlineStr">
        <is>
          <t>Ending Balance (per statement)</t>
        </is>
      </c>
      <c r="B25" s="8" t="n">
        <v>31190.76</v>
      </c>
      <c r="C25" s="9" t="n"/>
      <c r="D25" s="9" t="n"/>
    </row>
    <row r="26" ht="16" customHeight="1">
      <c r="A26" s="20" t="inlineStr">
        <is>
          <t>Calculated Ending Balance</t>
        </is>
      </c>
      <c r="B26" s="21" t="n">
        <v>31190.76</v>
      </c>
      <c r="C26" s="12" t="n"/>
      <c r="D26" s="12" t="n"/>
    </row>
    <row r="27" ht="16" customHeight="1">
      <c r="A27" s="22" t="inlineStr">
        <is>
          <t>Difference (should be $0.00)</t>
        </is>
      </c>
      <c r="B27" s="23" t="n">
        <v>0</v>
      </c>
      <c r="C27" s="24" t="n"/>
      <c r="D27" s="24" t="n"/>
    </row>
  </sheetData>
  <mergeCells count="7">
    <mergeCell ref="A1:D1"/>
    <mergeCell ref="A5:D5"/>
    <mergeCell ref="A9:D9"/>
    <mergeCell ref="A18:D18"/>
    <mergeCell ref="A3:D3"/>
    <mergeCell ref="A15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</cols>
  <sheetData>
    <row r="1" ht="26" customHeight="1">
      <c r="A1" s="25" t="inlineStr">
        <is>
          <t>SAMPLE ELEMENTARY PTA  -  Budget vs Actuals - Income</t>
        </is>
      </c>
    </row>
    <row r="2">
      <c r="A2" s="26" t="inlineStr">
        <is>
          <t>As of August 10, 2026  |  Fiscal Year 1999 - 2000  |  Active month: JULY</t>
        </is>
      </c>
    </row>
    <row r="3" ht="30" customHeight="1">
      <c r="A3" s="27" t="inlineStr">
        <is>
          <t>Category</t>
        </is>
      </c>
      <c r="B3" s="28" t="inlineStr">
        <is>
          <t>Last Year</t>
        </is>
      </c>
      <c r="C3" s="28" t="inlineStr">
        <is>
          <t>Budget (Annual)</t>
        </is>
      </c>
      <c r="D3" s="29" t="inlineStr">
        <is>
          <t>JULY</t>
        </is>
      </c>
      <c r="E3" s="28" t="inlineStr">
        <is>
          <t>AUG</t>
        </is>
      </c>
      <c r="F3" s="28" t="inlineStr">
        <is>
          <t>SEPT</t>
        </is>
      </c>
      <c r="G3" s="28" t="inlineStr">
        <is>
          <t>OCT</t>
        </is>
      </c>
      <c r="H3" s="28" t="inlineStr">
        <is>
          <t>NOV</t>
        </is>
      </c>
      <c r="I3" s="28" t="inlineStr">
        <is>
          <t>DEC</t>
        </is>
      </c>
      <c r="J3" s="28" t="inlineStr">
        <is>
          <t>JAN</t>
        </is>
      </c>
      <c r="K3" s="28" t="inlineStr">
        <is>
          <t>FEB</t>
        </is>
      </c>
      <c r="L3" s="28" t="inlineStr">
        <is>
          <t>MAR</t>
        </is>
      </c>
      <c r="M3" s="28" t="inlineStr">
        <is>
          <t>APR</t>
        </is>
      </c>
      <c r="N3" s="28" t="inlineStr">
        <is>
          <t>MAY</t>
        </is>
      </c>
      <c r="O3" s="28" t="inlineStr">
        <is>
          <t>JUNE</t>
        </is>
      </c>
      <c r="P3" s="28" t="inlineStr">
        <is>
          <t>Total</t>
        </is>
      </c>
      <c r="Q3" s="28" t="inlineStr"/>
    </row>
    <row r="4" ht="18" customHeight="1">
      <c r="A4" s="30" t="inlineStr">
        <is>
          <t>Fundraising</t>
        </is>
      </c>
    </row>
    <row r="5" ht="15" customHeight="1">
      <c r="A5" s="10" t="inlineStr">
        <is>
          <t>Book Fair</t>
        </is>
      </c>
      <c r="B5" s="11" t="n">
        <v>9118.360000000001</v>
      </c>
      <c r="C5" s="11" t="n">
        <v>500</v>
      </c>
      <c r="D5" s="3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>
        <f>SUM(D5:O5)</f>
        <v/>
      </c>
      <c r="Q5" s="11" t="n"/>
    </row>
    <row r="6" ht="18" customHeight="1">
      <c r="A6" s="7" t="inlineStr">
        <is>
          <t>Total Fundraising</t>
        </is>
      </c>
      <c r="B6" s="8">
        <f>SUM(B5:B5)</f>
        <v/>
      </c>
      <c r="C6" s="8">
        <f>SUM(C5:C5)</f>
        <v/>
      </c>
      <c r="D6" s="8">
        <f>SUM(D5:D5)</f>
        <v/>
      </c>
      <c r="E6" s="8">
        <f>SUM(E5:E5)</f>
        <v/>
      </c>
      <c r="F6" s="8">
        <f>SUM(F5:F5)</f>
        <v/>
      </c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  <c r="K6" s="8">
        <f>SUM(K5:K5)</f>
        <v/>
      </c>
      <c r="L6" s="8">
        <f>SUM(L5:L5)</f>
        <v/>
      </c>
      <c r="M6" s="8">
        <f>SUM(M5:M5)</f>
        <v/>
      </c>
      <c r="N6" s="8">
        <f>SUM(N5:N5)</f>
        <v/>
      </c>
      <c r="O6" s="8">
        <f>SUM(O5:O5)</f>
        <v/>
      </c>
      <c r="P6" s="8">
        <f>SUM(P5:P5)</f>
        <v/>
      </c>
      <c r="Q6" s="8">
        <f>SUM(Q5:Q5)</f>
        <v/>
      </c>
    </row>
    <row r="8" ht="20" customHeight="1">
      <c r="A8" s="32" t="inlineStr">
        <is>
          <t>GRAND TOTAL</t>
        </is>
      </c>
      <c r="B8" s="33">
        <f>SUMIF(A4:A7,"Total*",B4:B7)</f>
        <v/>
      </c>
      <c r="C8" s="33">
        <f>SUMIF(A4:A7,"Total*",C4:C7)</f>
        <v/>
      </c>
      <c r="D8" s="33">
        <f>SUMIF(A4:A7,"Total*",D4:D7)</f>
        <v/>
      </c>
      <c r="E8" s="33">
        <f>SUMIF(A4:A7,"Total*",E4:E7)</f>
        <v/>
      </c>
      <c r="F8" s="33">
        <f>SUMIF(A4:A7,"Total*",F4:F7)</f>
        <v/>
      </c>
      <c r="G8" s="33">
        <f>SUMIF(A4:A7,"Total*",G4:G7)</f>
        <v/>
      </c>
      <c r="H8" s="33">
        <f>SUMIF(A4:A7,"Total*",H4:H7)</f>
        <v/>
      </c>
      <c r="I8" s="33">
        <f>SUMIF(A4:A7,"Total*",I4:I7)</f>
        <v/>
      </c>
      <c r="J8" s="33">
        <f>SUMIF(A4:A7,"Total*",J4:J7)</f>
        <v/>
      </c>
      <c r="K8" s="33">
        <f>SUMIF(A4:A7,"Total*",K4:K7)</f>
        <v/>
      </c>
      <c r="L8" s="33">
        <f>SUMIF(A4:A7,"Total*",L4:L7)</f>
        <v/>
      </c>
      <c r="M8" s="33">
        <f>SUMIF(A4:A7,"Total*",M4:M7)</f>
        <v/>
      </c>
      <c r="N8" s="33">
        <f>SUMIF(A4:A7,"Total*",N4:N7)</f>
        <v/>
      </c>
      <c r="O8" s="33">
        <f>SUMIF(A4:A7,"Total*",O4:O7)</f>
        <v/>
      </c>
      <c r="P8" s="33">
        <f>SUMIF(A4:A7,"Total*",P4:P7)</f>
        <v/>
      </c>
      <c r="Q8" s="33">
        <f>SUMIF(A4:A7,"Total*",Q4:Q7)</f>
        <v/>
      </c>
    </row>
  </sheetData>
  <mergeCells count="3">
    <mergeCell ref="A2:Q2"/>
    <mergeCell ref="A1:Q1"/>
    <mergeCell ref="A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</cols>
  <sheetData>
    <row r="1" ht="26" customHeight="1">
      <c r="A1" s="25" t="inlineStr">
        <is>
          <t>SAMPLE ELEMENTARY PTA  -  Budget vs Actuals - Expenses</t>
        </is>
      </c>
    </row>
    <row r="2">
      <c r="A2" s="26" t="inlineStr">
        <is>
          <t>As of August 10, 2026  |  Fiscal Year 1999 - 2000  |  Active month: JULY</t>
        </is>
      </c>
    </row>
    <row r="3" ht="30" customHeight="1">
      <c r="A3" s="27" t="inlineStr">
        <is>
          <t>Category</t>
        </is>
      </c>
      <c r="B3" s="28" t="inlineStr">
        <is>
          <t>Last Year</t>
        </is>
      </c>
      <c r="C3" s="28" t="inlineStr">
        <is>
          <t>Budget (Annual)</t>
        </is>
      </c>
      <c r="D3" s="29" t="inlineStr">
        <is>
          <t>JULY</t>
        </is>
      </c>
      <c r="E3" s="28" t="inlineStr">
        <is>
          <t>AUG</t>
        </is>
      </c>
      <c r="F3" s="28" t="inlineStr">
        <is>
          <t>SEPT</t>
        </is>
      </c>
      <c r="G3" s="28" t="inlineStr">
        <is>
          <t>OCT</t>
        </is>
      </c>
      <c r="H3" s="28" t="inlineStr">
        <is>
          <t>NOV</t>
        </is>
      </c>
      <c r="I3" s="28" t="inlineStr">
        <is>
          <t>DEC</t>
        </is>
      </c>
      <c r="J3" s="28" t="inlineStr">
        <is>
          <t>JAN</t>
        </is>
      </c>
      <c r="K3" s="28" t="inlineStr">
        <is>
          <t>FEB</t>
        </is>
      </c>
      <c r="L3" s="28" t="inlineStr">
        <is>
          <t>MAR</t>
        </is>
      </c>
      <c r="M3" s="28" t="inlineStr">
        <is>
          <t>APR</t>
        </is>
      </c>
      <c r="N3" s="28" t="inlineStr">
        <is>
          <t>MAY</t>
        </is>
      </c>
      <c r="O3" s="28" t="inlineStr">
        <is>
          <t>JUNE</t>
        </is>
      </c>
      <c r="P3" s="28" t="inlineStr">
        <is>
          <t>Total</t>
        </is>
      </c>
      <c r="Q3" s="28" t="inlineStr">
        <is>
          <t>Profit/Loss</t>
        </is>
      </c>
    </row>
    <row r="4" ht="18" customHeight="1">
      <c r="A4" s="30" t="inlineStr">
        <is>
          <t>Admin/General</t>
        </is>
      </c>
    </row>
    <row r="5" ht="15" customHeight="1">
      <c r="A5" s="10" t="inlineStr">
        <is>
          <t>Accounting Expense (Quickbooks)</t>
        </is>
      </c>
      <c r="B5" s="11" t="n">
        <v>1257.76</v>
      </c>
      <c r="C5" s="11" t="n">
        <v>1300</v>
      </c>
      <c r="D5" s="34" t="n">
        <v>1257.76</v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>
        <f>SUM(D5:O5)</f>
        <v/>
      </c>
      <c r="Q5" s="11" t="n">
        <v>-1257.76</v>
      </c>
    </row>
    <row r="6" ht="18" customHeight="1">
      <c r="A6" s="7" t="inlineStr">
        <is>
          <t>Total Admin/General</t>
        </is>
      </c>
      <c r="B6" s="8">
        <f>SUM(B5:B5)</f>
        <v/>
      </c>
      <c r="C6" s="8">
        <f>SUM(C5:C5)</f>
        <v/>
      </c>
      <c r="D6" s="8">
        <f>SUM(D5:D5)</f>
        <v/>
      </c>
      <c r="E6" s="8">
        <f>SUM(E5:E5)</f>
        <v/>
      </c>
      <c r="F6" s="8">
        <f>SUM(F5:F5)</f>
        <v/>
      </c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  <c r="K6" s="8">
        <f>SUM(K5:K5)</f>
        <v/>
      </c>
      <c r="L6" s="8">
        <f>SUM(L5:L5)</f>
        <v/>
      </c>
      <c r="M6" s="8">
        <f>SUM(M5:M5)</f>
        <v/>
      </c>
      <c r="N6" s="8">
        <f>SUM(N5:N5)</f>
        <v/>
      </c>
      <c r="O6" s="8">
        <f>SUM(O5:O5)</f>
        <v/>
      </c>
      <c r="P6" s="8">
        <f>SUM(P5:P5)</f>
        <v/>
      </c>
      <c r="Q6" s="8">
        <f>SUM(Q5:Q5)</f>
        <v/>
      </c>
    </row>
    <row r="8" ht="18" customHeight="1">
      <c r="A8" s="30" t="inlineStr">
        <is>
          <t>Program Expense</t>
        </is>
      </c>
    </row>
    <row r="9" ht="15" customHeight="1">
      <c r="A9" s="10" t="inlineStr">
        <is>
          <t>Picnic</t>
        </is>
      </c>
      <c r="B9" s="11" t="n">
        <v>181.58</v>
      </c>
      <c r="C9" s="11" t="n">
        <v>200</v>
      </c>
      <c r="D9" s="34" t="n">
        <v>181.58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>
        <f>SUM(D9:O9)</f>
        <v/>
      </c>
      <c r="Q9" s="11" t="n">
        <v>-181.58</v>
      </c>
    </row>
    <row r="10" ht="18" customHeight="1">
      <c r="A10" s="7" t="inlineStr">
        <is>
          <t>Total Program Expense</t>
        </is>
      </c>
      <c r="B10" s="8">
        <f>SUM(B9:B9)</f>
        <v/>
      </c>
      <c r="C10" s="8">
        <f>SUM(C9:C9)</f>
        <v/>
      </c>
      <c r="D10" s="8">
        <f>SUM(D9:D9)</f>
        <v/>
      </c>
      <c r="E10" s="8">
        <f>SUM(E9:E9)</f>
        <v/>
      </c>
      <c r="F10" s="8">
        <f>SUM(F9:F9)</f>
        <v/>
      </c>
      <c r="G10" s="8">
        <f>SUM(G9:G9)</f>
        <v/>
      </c>
      <c r="H10" s="8">
        <f>SUM(H9:H9)</f>
        <v/>
      </c>
      <c r="I10" s="8">
        <f>SUM(I9:I9)</f>
        <v/>
      </c>
      <c r="J10" s="8">
        <f>SUM(J9:J9)</f>
        <v/>
      </c>
      <c r="K10" s="8">
        <f>SUM(K9:K9)</f>
        <v/>
      </c>
      <c r="L10" s="8">
        <f>SUM(L9:L9)</f>
        <v/>
      </c>
      <c r="M10" s="8">
        <f>SUM(M9:M9)</f>
        <v/>
      </c>
      <c r="N10" s="8">
        <f>SUM(N9:N9)</f>
        <v/>
      </c>
      <c r="O10" s="8">
        <f>SUM(O9:O9)</f>
        <v/>
      </c>
      <c r="P10" s="8">
        <f>SUM(P9:P9)</f>
        <v/>
      </c>
      <c r="Q10" s="8">
        <f>SUM(Q9:Q9)</f>
        <v/>
      </c>
    </row>
    <row r="12" ht="20" customHeight="1">
      <c r="A12" s="32" t="inlineStr">
        <is>
          <t>GRAND TOTAL</t>
        </is>
      </c>
      <c r="B12" s="33">
        <f>SUMIF(A4:A11,"Total*",B4:B11)</f>
        <v/>
      </c>
      <c r="C12" s="33">
        <f>SUMIF(A4:A11,"Total*",C4:C11)</f>
        <v/>
      </c>
      <c r="D12" s="33">
        <f>SUMIF(A4:A11,"Total*",D4:D11)</f>
        <v/>
      </c>
      <c r="E12" s="33">
        <f>SUMIF(A4:A11,"Total*",E4:E11)</f>
        <v/>
      </c>
      <c r="F12" s="33">
        <f>SUMIF(A4:A11,"Total*",F4:F11)</f>
        <v/>
      </c>
      <c r="G12" s="33">
        <f>SUMIF(A4:A11,"Total*",G4:G11)</f>
        <v/>
      </c>
      <c r="H12" s="33">
        <f>SUMIF(A4:A11,"Total*",H4:H11)</f>
        <v/>
      </c>
      <c r="I12" s="33">
        <f>SUMIF(A4:A11,"Total*",I4:I11)</f>
        <v/>
      </c>
      <c r="J12" s="33">
        <f>SUMIF(A4:A11,"Total*",J4:J11)</f>
        <v/>
      </c>
      <c r="K12" s="33">
        <f>SUMIF(A4:A11,"Total*",K4:K11)</f>
        <v/>
      </c>
      <c r="L12" s="33">
        <f>SUMIF(A4:A11,"Total*",L4:L11)</f>
        <v/>
      </c>
      <c r="M12" s="33">
        <f>SUMIF(A4:A11,"Total*",M4:M11)</f>
        <v/>
      </c>
      <c r="N12" s="33">
        <f>SUMIF(A4:A11,"Total*",N4:N11)</f>
        <v/>
      </c>
      <c r="O12" s="33">
        <f>SUMIF(A4:A11,"Total*",O4:O11)</f>
        <v/>
      </c>
      <c r="P12" s="33">
        <f>SUMIF(A4:A11,"Total*",P4:P11)</f>
        <v/>
      </c>
      <c r="Q12" s="33">
        <f>SUMIF(A4:A11,"Total*",Q4:Q11)</f>
        <v/>
      </c>
    </row>
  </sheetData>
  <mergeCells count="4">
    <mergeCell ref="A8:Q8"/>
    <mergeCell ref="A2:Q2"/>
    <mergeCell ref="A1:Q1"/>
    <mergeCell ref="A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  <col width="11" customWidth="1" min="5" max="5"/>
    <col width="25" customWidth="1" min="6" max="6"/>
  </cols>
  <sheetData>
    <row r="1" ht="26" customHeight="1">
      <c r="A1" s="25" t="inlineStr">
        <is>
          <t>SAMPLE ELEMENTARY PTA  -  Giveback Reconciliation</t>
        </is>
      </c>
    </row>
    <row r="2">
      <c r="A2" s="26" t="inlineStr">
        <is>
          <t>Generated: August 10, 2026</t>
        </is>
      </c>
    </row>
    <row r="4" ht="18" customHeight="1">
      <c r="A4" s="35" t="inlineStr">
        <is>
          <t>Item</t>
        </is>
      </c>
      <c r="B4" s="36" t="inlineStr">
        <is>
          <t>Category</t>
        </is>
      </c>
      <c r="C4" s="36" t="inlineStr">
        <is>
          <t>Transactions</t>
        </is>
      </c>
      <c r="D4" s="36" t="inlineStr">
        <is>
          <t>Amount</t>
        </is>
      </c>
      <c r="E4" s="36" t="inlineStr">
        <is>
          <t>% of Total</t>
        </is>
      </c>
      <c r="F4" s="36" t="inlineStr">
        <is>
          <t>Source File</t>
        </is>
      </c>
    </row>
    <row r="5" ht="15" customHeight="1">
      <c r="A5" s="37" t="inlineStr">
        <is>
          <t>Shop to Give Donation</t>
        </is>
      </c>
      <c r="B5" s="38" t="inlineStr"/>
      <c r="C5" s="38" t="n">
        <v>1</v>
      </c>
      <c r="D5" s="11" t="n">
        <v>95.14</v>
      </c>
      <c r="E5" s="39">
        <f>D5/D7</f>
        <v/>
      </c>
      <c r="F5" s="37" t="inlineStr">
        <is>
          <t>givebacks_july_po_DEMO0000000000000000.csv</t>
        </is>
      </c>
    </row>
    <row r="6" ht="15" customHeight="1">
      <c r="A6" s="40" t="inlineStr">
        <is>
          <t>Teacher/Staff</t>
        </is>
      </c>
      <c r="B6" s="41" t="inlineStr">
        <is>
          <t>Memberships</t>
        </is>
      </c>
      <c r="C6" s="41" t="n">
        <v>1</v>
      </c>
      <c r="D6" s="14" t="n">
        <v>15</v>
      </c>
      <c r="E6" s="42">
        <f>D6/D7</f>
        <v/>
      </c>
      <c r="F6" s="40" t="inlineStr">
        <is>
          <t>givebacks_july_po_DEMO0000000000000000.csv</t>
        </is>
      </c>
    </row>
    <row r="7" ht="18" customHeight="1">
      <c r="A7" s="7" t="inlineStr">
        <is>
          <t>TOTAL</t>
        </is>
      </c>
      <c r="B7" s="9" t="n"/>
      <c r="C7" s="43">
        <f>SUM(C5:C6)</f>
        <v/>
      </c>
      <c r="D7" s="8">
        <f>SUM(D5:D6)</f>
        <v/>
      </c>
      <c r="E7" s="43" t="inlineStr">
        <is>
          <t>100.0%</t>
        </is>
      </c>
      <c r="F7" s="9" t="n"/>
    </row>
    <row r="9" ht="20" customHeight="1">
      <c r="A9" s="4" t="inlineStr">
        <is>
          <t>GIVEBACK &lt;-&gt; BANK RECONCILIATION</t>
        </is>
      </c>
    </row>
    <row r="10" ht="16" customHeight="1">
      <c r="A10" s="20" t="inlineStr">
        <is>
          <t>Givebacks Platform Total</t>
        </is>
      </c>
      <c r="B10" s="12" t="n"/>
      <c r="C10" s="12" t="n"/>
      <c r="D10" s="21" t="n">
        <v>110.14</v>
      </c>
      <c r="E10" s="12" t="n"/>
      <c r="F10" s="12" t="n"/>
    </row>
    <row r="11" ht="16" customHeight="1">
      <c r="A11" s="20" t="inlineStr">
        <is>
          <t>Givebacks Deposit in Bank Statement</t>
        </is>
      </c>
      <c r="B11" s="12" t="n"/>
      <c r="C11" s="12" t="n"/>
      <c r="D11" s="21" t="n">
        <v>0</v>
      </c>
      <c r="E11" s="12" t="n"/>
      <c r="F11" s="12" t="n"/>
    </row>
    <row r="12" ht="16" customHeight="1">
      <c r="A12" s="44" t="inlineStr">
        <is>
          <t>Difference</t>
        </is>
      </c>
      <c r="B12" s="45" t="n"/>
      <c r="C12" s="45" t="n"/>
      <c r="D12" s="46" t="n">
        <v>110.14</v>
      </c>
      <c r="E12" s="45" t="n"/>
      <c r="F12" s="45" t="n"/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14" customWidth="1" min="4" max="4"/>
  </cols>
  <sheetData>
    <row r="1" ht="26" customHeight="1">
      <c r="A1" s="25" t="inlineStr">
        <is>
          <t>SAMPLE ELEMENTARY PTA  -  File Manifest</t>
        </is>
      </c>
    </row>
    <row r="2">
      <c r="A2" s="26" t="inlineStr">
        <is>
          <t>Report: July 1999  |  Column: JULY  |  Generated: August 10, 2026 at 02:05 PM</t>
        </is>
      </c>
    </row>
    <row r="4" ht="18" customHeight="1">
      <c r="A4" s="36" t="inlineStr">
        <is>
          <t>Type</t>
        </is>
      </c>
      <c r="B4" s="35" t="inlineStr">
        <is>
          <t>Filename</t>
        </is>
      </c>
      <c r="C4" s="36" t="inlineStr">
        <is>
          <t>Last Modified</t>
        </is>
      </c>
      <c r="D4" s="36" t="inlineStr">
        <is>
          <t>Size</t>
        </is>
      </c>
    </row>
    <row r="5" ht="16" customHeight="1">
      <c r="A5" s="38" t="inlineStr">
        <is>
          <t>QuickBooks</t>
        </is>
      </c>
      <c r="B5" s="37" t="inlineStr">
        <is>
          <t>quickbooks_july_1999.csv</t>
        </is>
      </c>
      <c r="C5" s="38" t="inlineStr">
        <is>
          <t>2026-07-17 10:54</t>
        </is>
      </c>
      <c r="D5" s="47" t="inlineStr">
        <is>
          <t>1.7 KB</t>
        </is>
      </c>
    </row>
    <row r="6" ht="16" customHeight="1">
      <c r="A6" s="41" t="inlineStr">
        <is>
          <t>Bank Statement</t>
        </is>
      </c>
      <c r="B6" s="40" t="inlineStr">
        <is>
          <t>Chase_july_1999.pdf</t>
        </is>
      </c>
      <c r="C6" s="41" t="inlineStr">
        <is>
          <t>2026-07-17 10:54</t>
        </is>
      </c>
      <c r="D6" s="48" t="inlineStr">
        <is>
          <t>1.5 KB</t>
        </is>
      </c>
    </row>
    <row r="7" ht="16" customHeight="1">
      <c r="A7" s="38" t="inlineStr">
        <is>
          <t>Givebacks</t>
        </is>
      </c>
      <c r="B7" s="37" t="inlineStr">
        <is>
          <t>givebacks_july_po_DEMO0000000000000000.csv</t>
        </is>
      </c>
      <c r="C7" s="38" t="inlineStr">
        <is>
          <t>2026-07-17 10:54</t>
        </is>
      </c>
      <c r="D7" s="47" t="inlineStr">
        <is>
          <t>0.1 KB</t>
        </is>
      </c>
    </row>
    <row r="8">
      <c r="A8" s="49" t="inlineStr">
        <is>
          <t>Total files processed: 3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50" t="inlineStr">
        <is>
          <t>Sample Elementary PTA  —  Treasurer's Report</t>
        </is>
      </c>
    </row>
    <row r="2" ht="16" customHeight="1">
      <c r="A2" s="51" t="inlineStr">
        <is>
          <t>7/1/1999 - 8/10/2026</t>
        </is>
      </c>
    </row>
    <row r="3" ht="18" customHeight="1">
      <c r="A3" s="52" t="inlineStr">
        <is>
          <t>Balance Forward:</t>
        </is>
      </c>
      <c r="B3" s="53" t="n">
        <v>32630.1</v>
      </c>
      <c r="C3" s="54" t="inlineStr">
        <is>
          <t>as of 6/30/2000</t>
        </is>
      </c>
      <c r="E3" s="52" t="inlineStr">
        <is>
          <t>Current Balance:</t>
        </is>
      </c>
      <c r="F3" s="53" t="n">
        <v>31190.76</v>
      </c>
      <c r="G3" s="54" t="inlineStr">
        <is>
          <t>as of July 31, 1999</t>
        </is>
      </c>
    </row>
    <row r="4" ht="18" customHeight="1">
      <c r="A4" s="52" t="inlineStr">
        <is>
          <t>Total Income: $0.00</t>
        </is>
      </c>
      <c r="E4" s="52" t="inlineStr">
        <is>
          <t>Total Expenses: $1,439.34</t>
        </is>
      </c>
    </row>
    <row r="6" ht="28" customHeight="1">
      <c r="A6" s="55" t="inlineStr">
        <is>
          <t>Category</t>
        </is>
      </c>
      <c r="B6" s="56" t="inlineStr">
        <is>
          <t>Last Year's Income</t>
        </is>
      </c>
      <c r="C6" s="56" t="inlineStr">
        <is>
          <t>Last Year's Expenses</t>
        </is>
      </c>
      <c r="D6" s="56" t="inlineStr">
        <is>
          <t>Expected Income</t>
        </is>
      </c>
      <c r="E6" s="56" t="inlineStr">
        <is>
          <t>Expected Expenses</t>
        </is>
      </c>
      <c r="F6" s="56" t="inlineStr">
        <is>
          <t>Actual Income</t>
        </is>
      </c>
      <c r="G6" s="56" t="inlineStr">
        <is>
          <t>Actual Expenses</t>
        </is>
      </c>
      <c r="H6" s="56" t="inlineStr">
        <is>
          <t>Net Profit</t>
        </is>
      </c>
      <c r="I6" s="56" t="inlineStr">
        <is>
          <t>Last Year's Profit</t>
        </is>
      </c>
    </row>
    <row r="7" ht="20" customHeight="1">
      <c r="A7" s="4" t="inlineStr">
        <is>
          <t>Admin/General</t>
        </is>
      </c>
    </row>
    <row r="8" ht="15" customHeight="1">
      <c r="A8" s="10" t="inlineStr">
        <is>
          <t>Accounting Expense (Quickbooks)</t>
        </is>
      </c>
      <c r="B8" s="11" t="inlineStr">
        <is>
          <t>--</t>
        </is>
      </c>
      <c r="C8" s="11" t="n">
        <v>1257.76</v>
      </c>
      <c r="D8" s="11" t="inlineStr">
        <is>
          <t>--</t>
        </is>
      </c>
      <c r="E8" s="11" t="n">
        <v>1300</v>
      </c>
      <c r="F8" s="11" t="inlineStr">
        <is>
          <t>--</t>
        </is>
      </c>
      <c r="G8" s="11" t="n">
        <v>1257.76</v>
      </c>
      <c r="H8" s="57" t="n">
        <v>-1257.76</v>
      </c>
      <c r="I8" s="11" t="n">
        <v>-1257.76</v>
      </c>
    </row>
    <row r="9" ht="18" customHeight="1">
      <c r="A9" s="7" t="inlineStr">
        <is>
          <t>TOTAL:</t>
        </is>
      </c>
      <c r="B9" s="8" t="inlineStr">
        <is>
          <t>--</t>
        </is>
      </c>
      <c r="C9" s="8" t="n">
        <v>1257.76</v>
      </c>
      <c r="D9" s="8" t="inlineStr">
        <is>
          <t>--</t>
        </is>
      </c>
      <c r="E9" s="8" t="n">
        <v>1300</v>
      </c>
      <c r="F9" s="8" t="inlineStr">
        <is>
          <t>--</t>
        </is>
      </c>
      <c r="G9" s="8" t="n">
        <v>1257.76</v>
      </c>
      <c r="H9" s="8" t="n">
        <v>-1257.76</v>
      </c>
      <c r="I9" s="8" t="n">
        <v>-1257.76</v>
      </c>
    </row>
    <row r="11" ht="20" customHeight="1">
      <c r="A11" s="4" t="inlineStr">
        <is>
          <t>Program Expense</t>
        </is>
      </c>
    </row>
    <row r="12" ht="15" customHeight="1">
      <c r="A12" s="10" t="inlineStr">
        <is>
          <t>Picnic</t>
        </is>
      </c>
      <c r="B12" s="11" t="inlineStr">
        <is>
          <t>--</t>
        </is>
      </c>
      <c r="C12" s="11" t="n">
        <v>181.58</v>
      </c>
      <c r="D12" s="11" t="inlineStr">
        <is>
          <t>--</t>
        </is>
      </c>
      <c r="E12" s="11" t="n">
        <v>200</v>
      </c>
      <c r="F12" s="11" t="inlineStr">
        <is>
          <t>--</t>
        </is>
      </c>
      <c r="G12" s="11" t="n">
        <v>181.58</v>
      </c>
      <c r="H12" s="57" t="n">
        <v>-181.58</v>
      </c>
      <c r="I12" s="11" t="n">
        <v>-181.58</v>
      </c>
    </row>
    <row r="13" ht="18" customHeight="1">
      <c r="A13" s="7" t="inlineStr">
        <is>
          <t>TOTAL:</t>
        </is>
      </c>
      <c r="B13" s="8" t="inlineStr">
        <is>
          <t>--</t>
        </is>
      </c>
      <c r="C13" s="8" t="n">
        <v>181.58</v>
      </c>
      <c r="D13" s="8" t="inlineStr">
        <is>
          <t>--</t>
        </is>
      </c>
      <c r="E13" s="8" t="n">
        <v>200</v>
      </c>
      <c r="F13" s="8" t="inlineStr">
        <is>
          <t>--</t>
        </is>
      </c>
      <c r="G13" s="8" t="n">
        <v>181.58</v>
      </c>
      <c r="H13" s="8" t="n">
        <v>-181.58</v>
      </c>
      <c r="I13" s="8" t="n">
        <v>-181.58</v>
      </c>
    </row>
    <row r="15" ht="20" customHeight="1">
      <c r="A15" s="4" t="inlineStr">
        <is>
          <t>Other Income</t>
        </is>
      </c>
    </row>
    <row r="16" ht="15" customHeight="1">
      <c r="A16" s="10" t="inlineStr">
        <is>
          <t>Book Fair</t>
        </is>
      </c>
      <c r="B16" s="11" t="n">
        <v>9118.360000000001</v>
      </c>
      <c r="C16" s="11" t="inlineStr">
        <is>
          <t>--</t>
        </is>
      </c>
      <c r="D16" s="11" t="n">
        <v>500</v>
      </c>
      <c r="E16" s="11" t="inlineStr">
        <is>
          <t>--</t>
        </is>
      </c>
      <c r="F16" s="11" t="inlineStr">
        <is>
          <t>--</t>
        </is>
      </c>
      <c r="G16" s="11" t="inlineStr">
        <is>
          <t>--</t>
        </is>
      </c>
      <c r="H16" s="11" t="inlineStr">
        <is>
          <t>--</t>
        </is>
      </c>
      <c r="I16" s="11" t="n">
        <v>9118.360000000001</v>
      </c>
    </row>
    <row r="17" ht="18" customHeight="1">
      <c r="A17" s="7" t="inlineStr">
        <is>
          <t>TOTAL:</t>
        </is>
      </c>
      <c r="B17" s="8" t="n">
        <v>9118.360000000001</v>
      </c>
      <c r="C17" s="8" t="inlineStr">
        <is>
          <t>--</t>
        </is>
      </c>
      <c r="D17" s="8" t="n">
        <v>500</v>
      </c>
      <c r="E17" s="8" t="inlineStr">
        <is>
          <t>--</t>
        </is>
      </c>
      <c r="F17" s="8" t="inlineStr">
        <is>
          <t>--</t>
        </is>
      </c>
      <c r="G17" s="8" t="inlineStr">
        <is>
          <t>--</t>
        </is>
      </c>
      <c r="H17" s="8" t="inlineStr">
        <is>
          <t>--</t>
        </is>
      </c>
      <c r="I17" s="8" t="n">
        <v>9118.360000000001</v>
      </c>
    </row>
  </sheetData>
  <mergeCells count="5">
    <mergeCell ref="A15:I15"/>
    <mergeCell ref="A7:I7"/>
    <mergeCell ref="A2:I2"/>
    <mergeCell ref="A11:I11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2026-08-10T18:05:09Z</dcterms:created>
  <dcterms:modified xsi:type="dcterms:W3CDTF">2026-08-10T18:05:09Z</dcterms:modified>
</cp:coreProperties>
</file>